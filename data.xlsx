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Bobot" sheetId="2" r:id="rId5"/>
  </sheets>
  <definedNames/>
  <calcPr/>
  <extLst>
    <ext uri="GoogleSheetsCustomDataVersion2">
      <go:sheetsCustomData xmlns:go="http://customooxmlschemas.google.com/" r:id="rId6" roundtripDataChecksum="i7sDw6PxooAmjZAWEzDJo1S+UiyjE/8VUKgOVU3gvr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ID#AAACHdFYvE8
Unknown Author    (2026-09-22 12:38:15)
Nilai = KUIS*bobot + UTS*bobot + UAS*bobot (lihat sheet Bobot)</t>
      </text>
    </comment>
  </commentList>
  <extLst>
    <ext uri="GoogleSheetsCustomDataVersion2">
      <go:sheetsCustomData xmlns:go="http://customooxmlschemas.google.com/" r:id="rId1" roundtripDataSignature="AMtx7mirur2hMstpGoMknMW9xhfbr+5rsA=="/>
    </ext>
  </extLst>
</comments>
</file>

<file path=xl/sharedStrings.xml><?xml version="1.0" encoding="utf-8"?>
<sst xmlns="http://schemas.openxmlformats.org/spreadsheetml/2006/main" count="56" uniqueCount="53">
  <si>
    <t>Komponen</t>
  </si>
  <si>
    <t>NIM</t>
  </si>
  <si>
    <t>Bobot</t>
  </si>
  <si>
    <t>KUIS</t>
  </si>
  <si>
    <t>Name</t>
  </si>
  <si>
    <t>UTS</t>
  </si>
  <si>
    <t>UAS</t>
  </si>
  <si>
    <t>Nilai</t>
  </si>
  <si>
    <t>Grade</t>
  </si>
  <si>
    <t>Total</t>
  </si>
  <si>
    <t>John Doe</t>
  </si>
  <si>
    <t>Skala Grade</t>
  </si>
  <si>
    <t>Batas bawah Nilai</t>
  </si>
  <si>
    <t>Rentang</t>
  </si>
  <si>
    <t>A</t>
  </si>
  <si>
    <t>81 - 100</t>
  </si>
  <si>
    <t>AB</t>
  </si>
  <si>
    <t>76 - 80</t>
  </si>
  <si>
    <t>B</t>
  </si>
  <si>
    <t>66 - 75</t>
  </si>
  <si>
    <t>BC</t>
  </si>
  <si>
    <t>56 - 65</t>
  </si>
  <si>
    <t>C</t>
  </si>
  <si>
    <t>&lt;46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</si>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</sst>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9.0"/>
      <color rgb="FF666666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A55"/>
        <bgColor rgb="FF1F2A55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3" numFmtId="9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1" fillId="0" fontId="3" numFmtId="2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5" width="8.0"/>
    <col customWidth="1" min="6" max="6" width="9.0"/>
    <col customWidth="1" min="7" max="7" width="8.0"/>
    <col customWidth="1" min="8" max="26" width="8.71"/>
  </cols>
  <sheetData>
    <row r="1">
      <c r="A1" s="2" t="s">
        <v>1</v>
      </c>
      <c r="B1" s="4" t="s">
        <v>4</v>
      </c>
      <c r="C1" s="2" t="s">
        <v>3</v>
      </c>
      <c r="D1" s="2" t="s">
        <v>5</v>
      </c>
      <c r="E1" s="2" t="s">
        <v>6</v>
      </c>
      <c r="F1" s="2" t="s">
        <v>7</v>
      </c>
      <c r="G1" s="2" t="s">
        <v>8</v>
      </c>
    </row>
    <row r="2">
      <c r="A2" s="7">
        <v>120001.0</v>
      </c>
      <c r="B2" s="8" t="s">
        <v>10</v>
      </c>
      <c r="C2" s="7">
        <v>85.0</v>
      </c>
      <c r="D2" s="7">
        <v>78.0</v>
      </c>
      <c r="E2" s="7">
        <v>90.0</v>
      </c>
      <c r="F2" s="10">
        <f>ROUND(C2*Bobot!$B$2+D2*Bobot!$B$3+E2*Bobot!$B$4,2)</f>
        <v>84.44</v>
      </c>
      <c r="G2" s="7" t="str">
        <f t="shared" ref="G2:G31" si="1">IF(F2&gt;=81,"A",IF(F2&gt;=76,"AB",IF(F2&gt;=66,"B",IF(F2&gt;=56,"BC",IF(F2&gt;=46,"C",IF(F2&gt;=36,"D","E"))))))</f>
        <v>A</v>
      </c>
    </row>
    <row r="3">
      <c r="A3" s="7">
        <v>120005.0</v>
      </c>
      <c r="B3" s="8" t="s">
        <v>24</v>
      </c>
      <c r="C3" s="7">
        <v>92.0</v>
      </c>
      <c r="D3" s="7">
        <v>88.0</v>
      </c>
      <c r="E3" s="7">
        <v>94.0</v>
      </c>
      <c r="F3" s="10">
        <f>ROUND(C3*Bobot!$B$2+D3*Bobot!$B$3+E3*Bobot!$B$4,2)</f>
        <v>91.38</v>
      </c>
      <c r="G3" s="7" t="str">
        <f t="shared" si="1"/>
        <v>A</v>
      </c>
    </row>
    <row r="4">
      <c r="A4" s="7">
        <v>120017.0</v>
      </c>
      <c r="B4" s="8" t="s">
        <v>25</v>
      </c>
      <c r="C4" s="7">
        <v>48.0</v>
      </c>
      <c r="D4" s="7">
        <v>65.0</v>
      </c>
      <c r="E4" s="7">
        <v>56.0</v>
      </c>
      <c r="F4" s="10">
        <f>ROUND(C4*Bobot!$B$2+D4*Bobot!$B$3+E4*Bobot!$B$4,2)</f>
        <v>56.41</v>
      </c>
      <c r="G4" s="7" t="str">
        <f t="shared" si="1"/>
        <v>BC</v>
      </c>
    </row>
    <row r="5">
      <c r="A5" s="7">
        <v>120018.0</v>
      </c>
      <c r="B5" s="8" t="s">
        <v>26</v>
      </c>
      <c r="C5" s="7">
        <v>90.0</v>
      </c>
      <c r="D5" s="7">
        <v>85.0</v>
      </c>
      <c r="E5" s="7">
        <v>88.0</v>
      </c>
      <c r="F5" s="10">
        <f>ROUND(C5*Bobot!$B$2+D5*Bobot!$B$3+E5*Bobot!$B$4,2)</f>
        <v>87.65</v>
      </c>
      <c r="G5" s="7" t="str">
        <f t="shared" si="1"/>
        <v>A</v>
      </c>
    </row>
    <row r="6">
      <c r="A6" s="7">
        <v>120022.0</v>
      </c>
      <c r="B6" s="8" t="s">
        <v>27</v>
      </c>
      <c r="C6" s="7">
        <v>75.0</v>
      </c>
      <c r="D6" s="7">
        <v>80.0</v>
      </c>
      <c r="E6" s="7">
        <v>77.0</v>
      </c>
      <c r="F6" s="10">
        <f>ROUND(C6*Bobot!$B$2+D6*Bobot!$B$3+E6*Bobot!$B$4,2)</f>
        <v>77.35</v>
      </c>
      <c r="G6" s="7" t="str">
        <f t="shared" si="1"/>
        <v>AB</v>
      </c>
    </row>
    <row r="7">
      <c r="A7" s="7">
        <v>120024.0</v>
      </c>
      <c r="B7" s="8" t="s">
        <v>28</v>
      </c>
      <c r="C7" s="7">
        <v>88.0</v>
      </c>
      <c r="D7" s="7">
        <v>70.0</v>
      </c>
      <c r="E7" s="7">
        <v>65.0</v>
      </c>
      <c r="F7" s="10">
        <f>ROUND(C7*Bobot!$B$2+D7*Bobot!$B$3+E7*Bobot!$B$4,2)</f>
        <v>74.01</v>
      </c>
      <c r="G7" s="7" t="str">
        <f t="shared" si="1"/>
        <v>B</v>
      </c>
    </row>
    <row r="8">
      <c r="A8" s="7">
        <v>120025.0</v>
      </c>
      <c r="B8" s="8" t="s">
        <v>29</v>
      </c>
      <c r="C8" s="7">
        <v>75.0</v>
      </c>
      <c r="D8" s="7">
        <v>70.0</v>
      </c>
      <c r="E8" s="7">
        <v>75.0</v>
      </c>
      <c r="F8" s="10">
        <f>ROUND(C8*Bobot!$B$2+D8*Bobot!$B$3+E8*Bobot!$B$4,2)</f>
        <v>73.35</v>
      </c>
      <c r="G8" s="7" t="str">
        <f t="shared" si="1"/>
        <v>B</v>
      </c>
    </row>
    <row r="9">
      <c r="A9" s="7">
        <v>120027.0</v>
      </c>
      <c r="B9" s="8" t="s">
        <v>30</v>
      </c>
      <c r="C9" s="7">
        <v>95.0</v>
      </c>
      <c r="D9" s="7">
        <v>91.0</v>
      </c>
      <c r="E9" s="7">
        <v>96.0</v>
      </c>
      <c r="F9" s="10">
        <f>ROUND(C9*Bobot!$B$2+D9*Bobot!$B$3+E9*Bobot!$B$4,2)</f>
        <v>94.03</v>
      </c>
      <c r="G9" s="7" t="str">
        <f t="shared" si="1"/>
        <v>A</v>
      </c>
    </row>
    <row r="10">
      <c r="A10" s="7">
        <v>120034.0</v>
      </c>
      <c r="B10" s="8" t="s">
        <v>31</v>
      </c>
      <c r="C10" s="7">
        <v>79.0</v>
      </c>
      <c r="D10" s="7">
        <v>84.0</v>
      </c>
      <c r="E10" s="7">
        <v>78.0</v>
      </c>
      <c r="F10" s="10">
        <f>ROUND(C10*Bobot!$B$2+D10*Bobot!$B$3+E10*Bobot!$B$4,2)</f>
        <v>80.3</v>
      </c>
      <c r="G10" s="7" t="str">
        <f t="shared" si="1"/>
        <v>AB</v>
      </c>
    </row>
    <row r="11">
      <c r="A11" s="7">
        <v>120035.0</v>
      </c>
      <c r="B11" s="8" t="s">
        <v>32</v>
      </c>
      <c r="C11" s="7">
        <v>42.0</v>
      </c>
      <c r="D11" s="7">
        <v>48.0</v>
      </c>
      <c r="E11" s="7">
        <v>63.0</v>
      </c>
      <c r="F11" s="10">
        <f>ROUND(C11*Bobot!$B$2+D11*Bobot!$B$3+E11*Bobot!$B$4,2)</f>
        <v>51.33</v>
      </c>
      <c r="G11" s="7" t="str">
        <f t="shared" si="1"/>
        <v>C</v>
      </c>
    </row>
    <row r="12">
      <c r="A12" s="7">
        <v>120036.0</v>
      </c>
      <c r="B12" s="8" t="s">
        <v>33</v>
      </c>
      <c r="C12" s="7">
        <v>53.0</v>
      </c>
      <c r="D12" s="7">
        <v>64.0</v>
      </c>
      <c r="E12" s="7">
        <v>59.0</v>
      </c>
      <c r="F12" s="10">
        <f>ROUND(C12*Bobot!$B$2+D12*Bobot!$B$3+E12*Bobot!$B$4,2)</f>
        <v>58.73</v>
      </c>
      <c r="G12" s="7" t="str">
        <f t="shared" si="1"/>
        <v>BC</v>
      </c>
    </row>
    <row r="13">
      <c r="A13" s="7">
        <v>120038.0</v>
      </c>
      <c r="B13" s="8" t="s">
        <v>34</v>
      </c>
      <c r="C13" s="7">
        <v>91.0</v>
      </c>
      <c r="D13" s="7">
        <v>95.0</v>
      </c>
      <c r="E13" s="7">
        <v>90.0</v>
      </c>
      <c r="F13" s="10">
        <f>ROUND(C13*Bobot!$B$2+D13*Bobot!$B$3+E13*Bobot!$B$4,2)</f>
        <v>91.97</v>
      </c>
      <c r="G13" s="7" t="str">
        <f t="shared" si="1"/>
        <v>A</v>
      </c>
    </row>
    <row r="14">
      <c r="A14" s="7">
        <v>120039.0</v>
      </c>
      <c r="B14" s="8" t="s">
        <v>35</v>
      </c>
      <c r="C14" s="7">
        <v>76.0</v>
      </c>
      <c r="D14" s="7">
        <v>81.0</v>
      </c>
      <c r="E14" s="7">
        <v>75.0</v>
      </c>
      <c r="F14" s="10">
        <f>ROUND(C14*Bobot!$B$2+D14*Bobot!$B$3+E14*Bobot!$B$4,2)</f>
        <v>77.3</v>
      </c>
      <c r="G14" s="7" t="str">
        <f t="shared" si="1"/>
        <v>AB</v>
      </c>
    </row>
    <row r="15">
      <c r="A15" s="7">
        <v>120046.0</v>
      </c>
      <c r="B15" s="8" t="s">
        <v>36</v>
      </c>
      <c r="C15" s="7">
        <v>89.0</v>
      </c>
      <c r="D15" s="7">
        <v>93.0</v>
      </c>
      <c r="E15" s="7">
        <v>88.0</v>
      </c>
      <c r="F15" s="10">
        <f>ROUND(C15*Bobot!$B$2+D15*Bobot!$B$3+E15*Bobot!$B$4,2)</f>
        <v>89.97</v>
      </c>
      <c r="G15" s="7" t="str">
        <f t="shared" si="1"/>
        <v>A</v>
      </c>
    </row>
    <row r="16">
      <c r="A16" s="7">
        <v>120047.0</v>
      </c>
      <c r="B16" s="8" t="s">
        <v>37</v>
      </c>
      <c r="C16" s="7">
        <v>80.0</v>
      </c>
      <c r="D16" s="7">
        <v>85.0</v>
      </c>
      <c r="E16" s="7">
        <v>79.0</v>
      </c>
      <c r="F16" s="10">
        <f>ROUND(C16*Bobot!$B$2+D16*Bobot!$B$3+E16*Bobot!$B$4,2)</f>
        <v>81.3</v>
      </c>
      <c r="G16" s="7" t="str">
        <f t="shared" si="1"/>
        <v>A</v>
      </c>
    </row>
    <row r="17">
      <c r="A17" s="7">
        <v>120049.0</v>
      </c>
      <c r="B17" s="8" t="s">
        <v>38</v>
      </c>
      <c r="C17" s="7">
        <v>94.0</v>
      </c>
      <c r="D17" s="7">
        <v>90.0</v>
      </c>
      <c r="E17" s="7">
        <v>95.0</v>
      </c>
      <c r="F17" s="10">
        <f>ROUND(C17*Bobot!$B$2+D17*Bobot!$B$3+E17*Bobot!$B$4,2)</f>
        <v>93.03</v>
      </c>
      <c r="G17" s="7" t="str">
        <f t="shared" si="1"/>
        <v>A</v>
      </c>
    </row>
    <row r="18">
      <c r="A18" s="7">
        <v>120054.0</v>
      </c>
      <c r="B18" s="8" t="s">
        <v>39</v>
      </c>
      <c r="C18" s="7">
        <v>77.0</v>
      </c>
      <c r="D18" s="7">
        <v>82.0</v>
      </c>
      <c r="E18" s="7">
        <v>76.0</v>
      </c>
      <c r="F18" s="10">
        <f>ROUND(C18*Bobot!$B$2+D18*Bobot!$B$3+E18*Bobot!$B$4,2)</f>
        <v>78.3</v>
      </c>
      <c r="G18" s="7" t="str">
        <f t="shared" si="1"/>
        <v>AB</v>
      </c>
    </row>
    <row r="19">
      <c r="A19" s="7">
        <v>120060.0</v>
      </c>
      <c r="B19" s="8" t="s">
        <v>40</v>
      </c>
      <c r="C19" s="7">
        <v>86.0</v>
      </c>
      <c r="D19" s="7">
        <v>89.0</v>
      </c>
      <c r="E19" s="7">
        <v>84.0</v>
      </c>
      <c r="F19" s="10">
        <f>ROUND(C19*Bobot!$B$2+D19*Bobot!$B$3+E19*Bobot!$B$4,2)</f>
        <v>86.29</v>
      </c>
      <c r="G19" s="7" t="str">
        <f t="shared" si="1"/>
        <v>A</v>
      </c>
    </row>
    <row r="20">
      <c r="A20" s="7">
        <v>120063.0</v>
      </c>
      <c r="B20" s="8" t="s">
        <v>41</v>
      </c>
      <c r="C20" s="7">
        <v>92.0</v>
      </c>
      <c r="D20" s="7">
        <v>88.0</v>
      </c>
      <c r="E20" s="7">
        <v>93.0</v>
      </c>
      <c r="F20" s="10">
        <f>ROUND(C20*Bobot!$B$2+D20*Bobot!$B$3+E20*Bobot!$B$4,2)</f>
        <v>91.03</v>
      </c>
      <c r="G20" s="7" t="str">
        <f t="shared" si="1"/>
        <v>A</v>
      </c>
    </row>
    <row r="21" ht="15.75" customHeight="1">
      <c r="A21" s="7">
        <v>120070.0</v>
      </c>
      <c r="B21" s="8" t="s">
        <v>42</v>
      </c>
      <c r="C21" s="7">
        <v>78.0</v>
      </c>
      <c r="D21" s="7">
        <v>83.0</v>
      </c>
      <c r="E21" s="7">
        <v>77.0</v>
      </c>
      <c r="F21" s="10">
        <f>ROUND(C21*Bobot!$B$2+D21*Bobot!$B$3+E21*Bobot!$B$4,2)</f>
        <v>79.3</v>
      </c>
      <c r="G21" s="7" t="str">
        <f t="shared" si="1"/>
        <v>AB</v>
      </c>
    </row>
    <row r="22" ht="15.75" customHeight="1">
      <c r="A22" s="7">
        <v>120071.0</v>
      </c>
      <c r="B22" s="8" t="s">
        <v>43</v>
      </c>
      <c r="C22" s="7">
        <v>41.0</v>
      </c>
      <c r="D22" s="7">
        <v>53.0</v>
      </c>
      <c r="E22" s="7">
        <v>44.0</v>
      </c>
      <c r="F22" s="10">
        <f>ROUND(C22*Bobot!$B$2+D22*Bobot!$B$3+E22*Bobot!$B$4,2)</f>
        <v>46.01</v>
      </c>
      <c r="G22" s="7" t="str">
        <f t="shared" si="1"/>
        <v>C</v>
      </c>
    </row>
    <row r="23" ht="15.75" customHeight="1">
      <c r="A23" s="7">
        <v>120073.0</v>
      </c>
      <c r="B23" s="8" t="s">
        <v>44</v>
      </c>
      <c r="C23" s="7">
        <v>68.0</v>
      </c>
      <c r="D23" s="7">
        <v>49.0</v>
      </c>
      <c r="E23" s="7">
        <v>54.0</v>
      </c>
      <c r="F23" s="10">
        <f>ROUND(C23*Bobot!$B$2+D23*Bobot!$B$3+E23*Bobot!$B$4,2)</f>
        <v>56.83</v>
      </c>
      <c r="G23" s="7" t="str">
        <f t="shared" si="1"/>
        <v>BC</v>
      </c>
    </row>
    <row r="24" ht="15.75" customHeight="1">
      <c r="A24" s="7">
        <v>120082.0</v>
      </c>
      <c r="B24" s="8" t="s">
        <v>45</v>
      </c>
      <c r="C24" s="7">
        <v>81.0</v>
      </c>
      <c r="D24" s="7">
        <v>87.0</v>
      </c>
      <c r="E24" s="7">
        <v>80.0</v>
      </c>
      <c r="F24" s="10">
        <f>ROUND(C24*Bobot!$B$2+D24*Bobot!$B$3+E24*Bobot!$B$4,2)</f>
        <v>82.63</v>
      </c>
      <c r="G24" s="7" t="str">
        <f t="shared" si="1"/>
        <v>A</v>
      </c>
    </row>
    <row r="25" ht="15.75" customHeight="1">
      <c r="A25" s="7">
        <v>120083.0</v>
      </c>
      <c r="B25" s="8" t="s">
        <v>46</v>
      </c>
      <c r="C25" s="7">
        <v>87.0</v>
      </c>
      <c r="D25" s="7">
        <v>90.0</v>
      </c>
      <c r="E25" s="7">
        <v>85.0</v>
      </c>
      <c r="F25" s="10">
        <f>ROUND(C25*Bobot!$B$2+D25*Bobot!$B$3+E25*Bobot!$B$4,2)</f>
        <v>87.29</v>
      </c>
      <c r="G25" s="7" t="str">
        <f t="shared" si="1"/>
        <v>A</v>
      </c>
    </row>
    <row r="26" ht="15.75" customHeight="1">
      <c r="A26" s="7">
        <v>120088.0</v>
      </c>
      <c r="B26" s="8" t="s">
        <v>47</v>
      </c>
      <c r="C26" s="7">
        <v>79.0</v>
      </c>
      <c r="D26" s="7">
        <v>84.0</v>
      </c>
      <c r="E26" s="7">
        <v>78.0</v>
      </c>
      <c r="F26" s="10">
        <f>ROUND(C26*Bobot!$B$2+D26*Bobot!$B$3+E26*Bobot!$B$4,2)</f>
        <v>80.3</v>
      </c>
      <c r="G26" s="7" t="str">
        <f t="shared" si="1"/>
        <v>AB</v>
      </c>
    </row>
    <row r="27" ht="15.75" customHeight="1">
      <c r="A27" s="7">
        <v>120090.0</v>
      </c>
      <c r="B27" s="8" t="s">
        <v>48</v>
      </c>
      <c r="C27" s="7">
        <v>70.0</v>
      </c>
      <c r="D27" s="7">
        <v>77.0</v>
      </c>
      <c r="E27" s="7">
        <v>64.0</v>
      </c>
      <c r="F27" s="10">
        <f>ROUND(C27*Bobot!$B$2+D27*Bobot!$B$3+E27*Bobot!$B$4,2)</f>
        <v>70.21</v>
      </c>
      <c r="G27" s="7" t="str">
        <f t="shared" si="1"/>
        <v>B</v>
      </c>
    </row>
    <row r="28" ht="15.75" customHeight="1">
      <c r="A28" s="7">
        <v>120093.0</v>
      </c>
      <c r="B28" s="8" t="s">
        <v>49</v>
      </c>
      <c r="C28" s="7">
        <v>67.0</v>
      </c>
      <c r="D28" s="7">
        <v>54.0</v>
      </c>
      <c r="E28" s="7">
        <v>54.0</v>
      </c>
      <c r="F28" s="10">
        <f>ROUND(C28*Bobot!$B$2+D28*Bobot!$B$3+E28*Bobot!$B$4,2)</f>
        <v>58.16</v>
      </c>
      <c r="G28" s="7" t="str">
        <f t="shared" si="1"/>
        <v>BC</v>
      </c>
    </row>
    <row r="29" ht="15.75" customHeight="1">
      <c r="A29" s="7">
        <v>120095.0</v>
      </c>
      <c r="B29" s="8" t="s">
        <v>50</v>
      </c>
      <c r="C29" s="7">
        <v>69.0</v>
      </c>
      <c r="D29" s="7">
        <v>62.0</v>
      </c>
      <c r="E29" s="7">
        <v>71.0</v>
      </c>
      <c r="F29" s="10">
        <f>ROUND(C29*Bobot!$B$2+D29*Bobot!$B$3+E29*Bobot!$B$4,2)</f>
        <v>67.39</v>
      </c>
      <c r="G29" s="7" t="str">
        <f t="shared" si="1"/>
        <v>B</v>
      </c>
    </row>
    <row r="30" ht="15.75" customHeight="1">
      <c r="A30" s="7">
        <v>120098.0</v>
      </c>
      <c r="B30" s="8" t="s">
        <v>51</v>
      </c>
      <c r="C30" s="7">
        <v>76.0</v>
      </c>
      <c r="D30" s="7">
        <v>81.0</v>
      </c>
      <c r="E30" s="7">
        <v>75.0</v>
      </c>
      <c r="F30" s="10">
        <f>ROUND(C30*Bobot!$B$2+D30*Bobot!$B$3+E30*Bobot!$B$4,2)</f>
        <v>77.3</v>
      </c>
      <c r="G30" s="7" t="str">
        <f t="shared" si="1"/>
        <v>AB</v>
      </c>
    </row>
    <row r="31" ht="15.75" customHeight="1">
      <c r="A31" s="7">
        <v>120099.0</v>
      </c>
      <c r="B31" s="8" t="s">
        <v>52</v>
      </c>
      <c r="C31" s="7">
        <v>60.0</v>
      </c>
      <c r="D31" s="7">
        <v>65.0</v>
      </c>
      <c r="E31" s="7">
        <v>64.0</v>
      </c>
      <c r="F31" s="10">
        <f>ROUND(C31*Bobot!$B$2+D31*Bobot!$B$3+E31*Bobot!$B$4,2)</f>
        <v>63.05</v>
      </c>
      <c r="G31" s="7" t="str">
        <f t="shared" si="1"/>
        <v>BC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3" width="12.0"/>
    <col customWidth="1" min="4" max="26" width="8.71"/>
  </cols>
  <sheetData>
    <row r="1">
      <c r="A1" s="1" t="s">
        <v>0</v>
      </c>
      <c r="B1" s="1" t="s">
        <v>2</v>
      </c>
      <c r="C1" s="1"/>
    </row>
    <row r="2">
      <c r="A2" s="3" t="s">
        <v>3</v>
      </c>
      <c r="B2" s="5">
        <v>0.32</v>
      </c>
      <c r="C2" s="3"/>
      <c r="D2" s="6"/>
    </row>
    <row r="3">
      <c r="A3" s="3" t="s">
        <v>5</v>
      </c>
      <c r="B3" s="5">
        <v>0.33</v>
      </c>
      <c r="C3" s="3"/>
    </row>
    <row r="4">
      <c r="A4" s="3" t="s">
        <v>6</v>
      </c>
      <c r="B4" s="5">
        <v>0.35</v>
      </c>
      <c r="C4" s="3"/>
    </row>
    <row r="5">
      <c r="A5" s="3" t="s">
        <v>9</v>
      </c>
      <c r="B5" s="5">
        <f>SUM(B2:B4)</f>
        <v>1</v>
      </c>
      <c r="C5" s="3"/>
    </row>
    <row r="6">
      <c r="A6" s="3"/>
      <c r="B6" s="3"/>
      <c r="C6" s="3"/>
    </row>
    <row r="7">
      <c r="A7" s="1" t="s">
        <v>11</v>
      </c>
      <c r="B7" s="1" t="s">
        <v>12</v>
      </c>
      <c r="C7" s="1" t="s">
        <v>13</v>
      </c>
    </row>
    <row r="8">
      <c r="A8" s="3" t="s">
        <v>14</v>
      </c>
      <c r="B8" s="3">
        <v>81.0</v>
      </c>
      <c r="C8" s="3" t="s">
        <v>15</v>
      </c>
    </row>
    <row r="9">
      <c r="A9" s="3" t="s">
        <v>16</v>
      </c>
      <c r="B9" s="3">
        <v>76.0</v>
      </c>
      <c r="C9" s="3" t="s">
        <v>17</v>
      </c>
    </row>
    <row r="10">
      <c r="A10" s="3" t="s">
        <v>18</v>
      </c>
      <c r="B10" s="3">
        <v>66.0</v>
      </c>
      <c r="C10" s="3" t="s">
        <v>19</v>
      </c>
    </row>
    <row r="11">
      <c r="A11" s="3" t="s">
        <v>20</v>
      </c>
      <c r="B11" s="3">
        <v>56.0</v>
      </c>
      <c r="C11" s="3" t="s">
        <v>21</v>
      </c>
    </row>
    <row r="12">
      <c r="A12" s="3" t="s">
        <v>22</v>
      </c>
      <c r="B12" s="9" t="s">
        <v>23</v>
      </c>
      <c r="C12" s="3"/>
    </row>
    <row r="13">
      <c r="A13" s="3"/>
      <c r="B13" s="3"/>
      <c r="C13" s="3"/>
    </row>
    <row r="14">
      <c r="A14" s="3"/>
      <c r="B14" s="3"/>
      <c r="C14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2026-09-22T11:48:50Z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